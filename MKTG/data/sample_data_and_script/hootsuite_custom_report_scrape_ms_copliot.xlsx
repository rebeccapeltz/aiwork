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al_media_with_fake_data" sheetId="1" r:id="rId5"/>
    <sheet state="visible" name="dashboard_data" sheetId="2" r:id="rId6"/>
    <sheet state="visible" name="Dashboard" sheetId="3" r:id="rId7"/>
  </sheets>
  <definedNames/>
  <calcPr/>
</workbook>
</file>

<file path=xl/sharedStrings.xml><?xml version="1.0" encoding="utf-8"?>
<sst xmlns="http://schemas.openxmlformats.org/spreadsheetml/2006/main" count="27" uniqueCount="22">
  <si>
    <t>Period_YYYYMM</t>
  </si>
  <si>
    <t>Average_post_engagement</t>
  </si>
  <si>
    <t>Followers</t>
  </si>
  <si>
    <t>Inbound_message</t>
  </si>
  <si>
    <t>New_followers</t>
  </si>
  <si>
    <t>Page_&amp;_profile_impression</t>
  </si>
  <si>
    <t>Page_&amp;_profile_reach</t>
  </si>
  <si>
    <t>Post_comments_&amp; _eplies</t>
  </si>
  <si>
    <t>Post_impressions</t>
  </si>
  <si>
    <t>Post_link_click</t>
  </si>
  <si>
    <t>Post_reach</t>
  </si>
  <si>
    <t>Post_reactions_&amp;_likes</t>
  </si>
  <si>
    <t>Post_video_view</t>
  </si>
  <si>
    <t>Posts</t>
  </si>
  <si>
    <t>Period__YYYYMM</t>
  </si>
  <si>
    <t>Period_Date</t>
  </si>
  <si>
    <t>Social Media Dashboard</t>
  </si>
  <si>
    <t>Add the slicer: dashboard_data → click inside the blue table → Insert → Slicer → Period__YYYYMM → OK. Move it here.</t>
  </si>
  <si>
    <t>KPIs (Respond to slicer/table filters)</t>
  </si>
  <si>
    <t>Avg Engagement</t>
  </si>
  <si>
    <t>New Followers</t>
  </si>
  <si>
    <t>Post Impressions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</si>
</sst>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7">
    <font>
      <sz val="10.0"/>
      <color rgb="FF000000"/>
      <name val="Arial"/>
      <scheme val="minor"/>
    </font>
    <font>
      <sz val="10.0"/>
      <color theme="1"/>
      <name val="Arial"/>
    </font>
    <font>
      <b/>
      <color rgb="FFFFFFFF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b/>
      <sz val="16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top"/>
    </xf>
    <xf borderId="0" fillId="0" fontId="3" numFmtId="0" xfId="0" applyFont="1"/>
    <xf borderId="0" fillId="0" fontId="4" numFmtId="164" xfId="0" applyFont="1" applyNumberFormat="1"/>
    <xf borderId="0" fillId="0" fontId="4" numFmtId="2" xfId="0" applyFont="1" applyNumberFormat="1"/>
    <xf borderId="0" fillId="0" fontId="4" numFmtId="3" xfId="0" applyFont="1" applyNumberFormat="1"/>
    <xf borderId="0" fillId="0" fontId="5" numFmtId="0" xfId="0" applyFont="1"/>
    <xf borderId="0" fillId="0" fontId="4" numFmtId="0" xfId="0" applyAlignment="1" applyFont="1">
      <alignment shrinkToFit="0" wrapText="1"/>
    </xf>
    <xf borderId="0" fillId="0" fontId="6" numFmtId="0" xfId="0" applyFont="1"/>
    <xf borderId="0" fillId="0" fontId="3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</dxfs>
  <tableStyles count="2">
    <tableStyle count="3" pivot="0" name="social_media_with_fake_data-style">
      <tableStyleElement dxfId="1" type="headerRow"/>
      <tableStyleElement dxfId="2" type="firstRowStripe"/>
      <tableStyleElement dxfId="1" type="secondRowStripe"/>
    </tableStyle>
    <tableStyle count="3" pivot="0" name="dashboard_data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Post Engagement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dashboard_data!$C$1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dashboard_data!$B$2:$B$14</c:f>
            </c:strRef>
          </c:cat>
          <c:val>
            <c:numRef>
              <c:f>dashboard_data!$C$2:$C$14</c:f>
              <c:numCache/>
            </c:numRef>
          </c:val>
          <c:smooth val="0"/>
        </c:ser>
        <c:axId val="1393576749"/>
        <c:axId val="224950244"/>
      </c:lineChart>
      <c:catAx>
        <c:axId val="13935767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yyyy-mm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4950244"/>
      </c:catAx>
      <c:valAx>
        <c:axId val="224950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Avg Engagement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35767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Followers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dashboard_data!$D$1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dashboard_data!$B$2:$B$14</c:f>
            </c:strRef>
          </c:cat>
          <c:val>
            <c:numRef>
              <c:f>dashboard_data!$D$2:$D$14</c:f>
              <c:numCache/>
            </c:numRef>
          </c:val>
          <c:smooth val="0"/>
        </c:ser>
        <c:axId val="1785410586"/>
        <c:axId val="1503557448"/>
      </c:lineChart>
      <c:catAx>
        <c:axId val="1785410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yyyy-mm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3557448"/>
      </c:catAx>
      <c:valAx>
        <c:axId val="15035574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Followers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54105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New Followers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dashboard_data!$E$1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dashboard_data!$B$2:$B$14</c:f>
            </c:strRef>
          </c:cat>
          <c:val>
            <c:numRef>
              <c:f>dashboard_data!$E$2:$E$14</c:f>
              <c:numCache/>
            </c:numRef>
          </c:val>
        </c:ser>
        <c:axId val="1531320822"/>
        <c:axId val="1491782130"/>
      </c:barChart>
      <c:catAx>
        <c:axId val="1531320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yyyy-mm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1782130"/>
      </c:catAx>
      <c:valAx>
        <c:axId val="14917821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New Followers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13208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Post Impressions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dashboard_data!$F$1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dashboard_data!$B$2:$B$14</c:f>
            </c:strRef>
          </c:cat>
          <c:val>
            <c:numRef>
              <c:f>dashboard_data!$F$2:$F$14</c:f>
              <c:numCache/>
            </c:numRef>
          </c:val>
        </c:ser>
        <c:axId val="1779776666"/>
        <c:axId val="1183138264"/>
      </c:areaChart>
      <c:catAx>
        <c:axId val="17797766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yyyy-mm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3138264"/>
      </c:catAx>
      <c:valAx>
        <c:axId val="11831382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Impressions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97766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0</xdr:rowOff>
    </xdr:from>
    <xdr:ext cx="5391150" cy="26955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9</xdr:row>
      <xdr:rowOff>0</xdr:rowOff>
    </xdr:from>
    <xdr:ext cx="5391150" cy="26955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26</xdr:row>
      <xdr:rowOff>0</xdr:rowOff>
    </xdr:from>
    <xdr:ext cx="5391150" cy="26955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0</xdr:colOff>
      <xdr:row>26</xdr:row>
      <xdr:rowOff>0</xdr:rowOff>
    </xdr:from>
    <xdr:ext cx="5391150" cy="26955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4" displayName="Table_1" name="Table_1" id="1">
  <tableColumns count="14">
    <tableColumn name="Period_YYYYMM" id="1"/>
    <tableColumn name="Average_post_engagement" id="2"/>
    <tableColumn name="Followers" id="3"/>
    <tableColumn name="Inbound_message" id="4"/>
    <tableColumn name="New_followers" id="5"/>
    <tableColumn name="Page_&amp;_profile_impression" id="6"/>
    <tableColumn name="Page_&amp;_profile_reach" id="7"/>
    <tableColumn name="Post_comments_&amp; _eplies" id="8"/>
    <tableColumn name="Post_impressions" id="9"/>
    <tableColumn name="Post_link_click" id="10"/>
    <tableColumn name="Post_reach" id="11"/>
    <tableColumn name="Post_reactions_&amp;_likes" id="12"/>
    <tableColumn name="Post_video_view" id="13"/>
    <tableColumn name="Posts" id="14"/>
  </tableColumns>
  <tableStyleInfo name="social_media_with_fake_data-style" showColumnStripes="0" showFirstColumn="1" showLastColumn="1" showRowStripes="1"/>
</table>
</file>

<file path=xl/tables/table2.xml><?xml version="1.0" encoding="utf-8"?>
<table xmlns="http://schemas.openxmlformats.org/spreadsheetml/2006/main" ref="A1:F14" displayName="Table_2" name="Table_2" id="2">
  <tableColumns count="6">
    <tableColumn name="Period__YYYYMM" id="1"/>
    <tableColumn name="Period_Date" id="2"/>
    <tableColumn name="Average_post_engagement" id="3"/>
    <tableColumn name="Followers" id="4"/>
    <tableColumn name="New_followers" id="5"/>
    <tableColumn name="Post_impressions" id="6"/>
  </tableColumns>
  <tableStyleInfo name="dashboard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28.25"/>
    <col customWidth="1" min="3" max="5" width="21.88"/>
    <col customWidth="1" min="6" max="6" width="28.38"/>
    <col customWidth="1" min="7" max="7" width="23.25"/>
    <col customWidth="1" min="8" max="8" width="27.38"/>
    <col customWidth="1" min="9" max="11" width="21.88"/>
    <col customWidth="1" min="12" max="12" width="24.75"/>
    <col customWidth="1" min="13" max="14" width="21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1">
        <v>202501.0</v>
      </c>
      <c r="B2" s="1">
        <v>4.07</v>
      </c>
      <c r="C2" s="1">
        <v>107512.0</v>
      </c>
      <c r="D2" s="1">
        <v>249.0</v>
      </c>
      <c r="E2" s="1">
        <v>1480.0</v>
      </c>
      <c r="F2" s="1">
        <v>1828186.0</v>
      </c>
      <c r="G2" s="1">
        <v>937891.0</v>
      </c>
      <c r="H2" s="1">
        <v>102.0</v>
      </c>
      <c r="I2" s="1">
        <v>219590.0</v>
      </c>
      <c r="J2" s="1">
        <v>0.0</v>
      </c>
      <c r="K2" s="1">
        <v>156285.0</v>
      </c>
      <c r="L2" s="1">
        <v>2873.0</v>
      </c>
      <c r="M2" s="1">
        <v>71935.0</v>
      </c>
      <c r="N2" s="1">
        <v>108.0</v>
      </c>
    </row>
    <row r="3" ht="15.75" customHeight="1">
      <c r="A3" s="1">
        <v>202502.0</v>
      </c>
      <c r="B3" s="1">
        <v>3.95</v>
      </c>
      <c r="C3" s="1">
        <v>104381.0</v>
      </c>
      <c r="D3" s="1">
        <v>242.0</v>
      </c>
      <c r="E3" s="1">
        <v>1437.0</v>
      </c>
      <c r="F3" s="1">
        <v>1774938.0</v>
      </c>
      <c r="G3" s="1">
        <v>910574.0</v>
      </c>
      <c r="H3" s="1">
        <v>99.0</v>
      </c>
      <c r="I3" s="1">
        <v>213194.0</v>
      </c>
      <c r="J3" s="1">
        <v>0.0</v>
      </c>
      <c r="K3" s="1">
        <v>151733.0</v>
      </c>
      <c r="L3" s="1">
        <v>2789.0</v>
      </c>
      <c r="M3" s="1">
        <v>69840.0</v>
      </c>
      <c r="N3" s="1">
        <v>105.0</v>
      </c>
    </row>
    <row r="4" ht="15.75" customHeight="1">
      <c r="A4" s="1">
        <v>202503.0</v>
      </c>
      <c r="B4" s="1">
        <v>4.07</v>
      </c>
      <c r="C4" s="1">
        <v>107609.0</v>
      </c>
      <c r="D4" s="1">
        <v>250.0</v>
      </c>
      <c r="E4" s="1">
        <v>1481.0</v>
      </c>
      <c r="F4" s="1">
        <v>1829833.0</v>
      </c>
      <c r="G4" s="1">
        <v>938736.0</v>
      </c>
      <c r="H4" s="1">
        <v>102.0</v>
      </c>
      <c r="I4" s="1">
        <v>219788.0</v>
      </c>
      <c r="J4" s="1">
        <v>0.0</v>
      </c>
      <c r="K4" s="1">
        <v>156426.0</v>
      </c>
      <c r="L4" s="1">
        <v>2875.0</v>
      </c>
      <c r="M4" s="1">
        <v>72000.0</v>
      </c>
      <c r="N4" s="1">
        <v>108.0</v>
      </c>
    </row>
    <row r="5" ht="15.75" customHeight="1">
      <c r="A5" s="1">
        <v>202504.0</v>
      </c>
      <c r="B5" s="1">
        <v>3.95</v>
      </c>
      <c r="C5" s="1">
        <v>104475.0</v>
      </c>
      <c r="D5" s="1">
        <v>243.0</v>
      </c>
      <c r="E5" s="1">
        <v>1438.0</v>
      </c>
      <c r="F5" s="1">
        <v>1776537.0</v>
      </c>
      <c r="G5" s="1">
        <v>911394.0</v>
      </c>
      <c r="H5" s="1">
        <v>99.0</v>
      </c>
      <c r="I5" s="1">
        <v>213386.0</v>
      </c>
      <c r="J5" s="1">
        <v>0.0</v>
      </c>
      <c r="K5" s="1">
        <v>151870.0</v>
      </c>
      <c r="L5" s="1">
        <v>2791.0</v>
      </c>
      <c r="M5" s="1">
        <v>69903.0</v>
      </c>
      <c r="N5" s="1">
        <v>105.0</v>
      </c>
    </row>
    <row r="6" ht="15.75" customHeight="1">
      <c r="A6" s="1">
        <v>202505.0</v>
      </c>
      <c r="B6" s="1">
        <v>4.07</v>
      </c>
      <c r="C6" s="1">
        <v>107706.0</v>
      </c>
      <c r="D6" s="1">
        <v>251.0</v>
      </c>
      <c r="E6" s="1">
        <v>1482.0</v>
      </c>
      <c r="F6" s="1">
        <v>1831481.0</v>
      </c>
      <c r="G6" s="1">
        <v>939581.0</v>
      </c>
      <c r="H6" s="1">
        <v>102.0</v>
      </c>
      <c r="I6" s="1">
        <v>219986.0</v>
      </c>
      <c r="J6" s="1">
        <v>0.0</v>
      </c>
      <c r="K6" s="1">
        <v>156567.0</v>
      </c>
      <c r="L6" s="1">
        <v>2877.0</v>
      </c>
      <c r="M6" s="1">
        <v>72065.0</v>
      </c>
      <c r="N6" s="1">
        <v>108.0</v>
      </c>
    </row>
    <row r="7" ht="15.75" customHeight="1">
      <c r="A7" s="1">
        <v>202506.0</v>
      </c>
      <c r="B7" s="1">
        <v>3.95</v>
      </c>
      <c r="C7" s="1">
        <v>104569.0</v>
      </c>
      <c r="D7" s="1">
        <v>244.0</v>
      </c>
      <c r="E7" s="1">
        <v>1439.0</v>
      </c>
      <c r="F7" s="1">
        <v>1778137.0</v>
      </c>
      <c r="G7" s="1">
        <v>912215.0</v>
      </c>
      <c r="H7" s="1">
        <v>99.0</v>
      </c>
      <c r="I7" s="1">
        <v>213579.0</v>
      </c>
      <c r="J7" s="1">
        <v>0.0</v>
      </c>
      <c r="K7" s="1">
        <v>152007.0</v>
      </c>
      <c r="L7" s="1">
        <v>2793.0</v>
      </c>
      <c r="M7" s="1">
        <v>69966.0</v>
      </c>
      <c r="N7" s="1">
        <v>105.0</v>
      </c>
    </row>
    <row r="8" ht="15.75" customHeight="1">
      <c r="A8" s="1">
        <v>202507.0</v>
      </c>
      <c r="B8" s="1">
        <v>4.07</v>
      </c>
      <c r="C8" s="1">
        <v>107803.0</v>
      </c>
      <c r="D8" s="1">
        <v>252.0</v>
      </c>
      <c r="E8" s="1">
        <v>1483.0</v>
      </c>
      <c r="F8" s="1">
        <v>1833131.0</v>
      </c>
      <c r="G8" s="1">
        <v>940428.0</v>
      </c>
      <c r="H8" s="1">
        <v>102.0</v>
      </c>
      <c r="I8" s="1">
        <v>220185.0</v>
      </c>
      <c r="J8" s="1">
        <v>0.0</v>
      </c>
      <c r="K8" s="1">
        <v>156708.0</v>
      </c>
      <c r="L8" s="1">
        <v>2879.0</v>
      </c>
      <c r="M8" s="1">
        <v>72130.0</v>
      </c>
      <c r="N8" s="1">
        <v>108.0</v>
      </c>
    </row>
    <row r="9" ht="15.75" customHeight="1">
      <c r="A9" s="1">
        <v>202508.0</v>
      </c>
      <c r="B9" s="1">
        <v>3.95</v>
      </c>
      <c r="C9" s="1">
        <v>104663.0</v>
      </c>
      <c r="D9" s="1">
        <v>245.0</v>
      </c>
      <c r="E9" s="1">
        <v>1440.0</v>
      </c>
      <c r="F9" s="1">
        <v>1779739.0</v>
      </c>
      <c r="G9" s="1">
        <v>913037.0</v>
      </c>
      <c r="H9" s="1">
        <v>99.0</v>
      </c>
      <c r="I9" s="1">
        <v>213772.0</v>
      </c>
      <c r="J9" s="1">
        <v>0.0</v>
      </c>
      <c r="K9" s="1">
        <v>152144.0</v>
      </c>
      <c r="L9" s="1">
        <v>2795.0</v>
      </c>
      <c r="M9" s="1">
        <v>70029.0</v>
      </c>
      <c r="N9" s="1">
        <v>105.0</v>
      </c>
    </row>
    <row r="10" ht="15.75" customHeight="1">
      <c r="A10" s="1">
        <v>202509.0</v>
      </c>
      <c r="B10" s="1">
        <v>4.07</v>
      </c>
      <c r="C10" s="1">
        <v>107900.0</v>
      </c>
      <c r="D10" s="1">
        <v>253.0</v>
      </c>
      <c r="E10" s="1">
        <v>1485.0</v>
      </c>
      <c r="F10" s="1">
        <v>1834782.0</v>
      </c>
      <c r="G10" s="1">
        <v>941275.0</v>
      </c>
      <c r="H10" s="1">
        <v>102.0</v>
      </c>
      <c r="I10" s="1">
        <v>220383.0</v>
      </c>
      <c r="J10" s="1">
        <v>0.0</v>
      </c>
      <c r="K10" s="1">
        <v>156849.0</v>
      </c>
      <c r="L10" s="1">
        <v>2881.0</v>
      </c>
      <c r="M10" s="1">
        <v>72195.0</v>
      </c>
      <c r="N10" s="1">
        <v>108.0</v>
      </c>
    </row>
    <row r="11" ht="15.75" customHeight="1">
      <c r="A11" s="1">
        <v>202510.0</v>
      </c>
      <c r="B11" s="1">
        <v>3.95</v>
      </c>
      <c r="C11" s="1">
        <v>104757.0</v>
      </c>
      <c r="D11" s="1">
        <v>246.0</v>
      </c>
      <c r="E11" s="1">
        <v>1442.0</v>
      </c>
      <c r="F11" s="1">
        <v>1781342.0</v>
      </c>
      <c r="G11" s="1">
        <v>913859.0</v>
      </c>
      <c r="H11" s="1">
        <v>99.0</v>
      </c>
      <c r="I11" s="1">
        <v>213964.0</v>
      </c>
      <c r="J11" s="1">
        <v>0.0</v>
      </c>
      <c r="K11" s="1">
        <v>152281.0</v>
      </c>
      <c r="L11" s="1">
        <v>2797.0</v>
      </c>
      <c r="M11" s="1">
        <v>70092.0</v>
      </c>
      <c r="N11" s="1">
        <v>105.0</v>
      </c>
    </row>
    <row r="12" ht="15.75" customHeight="1">
      <c r="A12" s="1">
        <v>202511.0</v>
      </c>
      <c r="B12" s="1">
        <v>4.07</v>
      </c>
      <c r="C12" s="1">
        <v>107997.0</v>
      </c>
      <c r="D12" s="1">
        <v>254.0</v>
      </c>
      <c r="E12" s="1">
        <v>1487.0</v>
      </c>
      <c r="F12" s="1">
        <v>1836435.0</v>
      </c>
      <c r="G12" s="1">
        <v>942123.0</v>
      </c>
      <c r="H12" s="1">
        <v>102.0</v>
      </c>
      <c r="I12" s="1">
        <v>220581.0</v>
      </c>
      <c r="J12" s="1">
        <v>0.0</v>
      </c>
      <c r="K12" s="1">
        <v>156991.0</v>
      </c>
      <c r="L12" s="1">
        <v>2884.0</v>
      </c>
      <c r="M12" s="1">
        <v>72260.0</v>
      </c>
      <c r="N12" s="1">
        <v>108.0</v>
      </c>
    </row>
    <row r="13" ht="15.75" customHeight="1">
      <c r="A13" s="1">
        <v>202512.0</v>
      </c>
      <c r="B13" s="1">
        <v>3.95</v>
      </c>
      <c r="C13" s="1">
        <v>104851.0</v>
      </c>
      <c r="D13" s="1">
        <v>247.0</v>
      </c>
      <c r="E13" s="1">
        <v>1444.0</v>
      </c>
      <c r="F13" s="1">
        <v>1782947.0</v>
      </c>
      <c r="G13" s="1">
        <v>914683.0</v>
      </c>
      <c r="H13" s="1">
        <v>99.0</v>
      </c>
      <c r="I13" s="1">
        <v>214156.0</v>
      </c>
      <c r="J13" s="1">
        <v>0.0</v>
      </c>
      <c r="K13" s="1">
        <v>152418.0</v>
      </c>
      <c r="L13" s="1">
        <v>2800.0</v>
      </c>
      <c r="M13" s="1">
        <v>70155.0</v>
      </c>
      <c r="N13" s="1">
        <v>105.0</v>
      </c>
    </row>
    <row r="14" ht="15.75" customHeight="1">
      <c r="A14" s="1">
        <v>202601.0</v>
      </c>
      <c r="B14" s="1">
        <v>4.07</v>
      </c>
      <c r="C14" s="1">
        <v>108094.0</v>
      </c>
      <c r="D14" s="1">
        <v>255.0</v>
      </c>
      <c r="E14" s="1">
        <v>1489.0</v>
      </c>
      <c r="F14" s="1">
        <v>1838090.0</v>
      </c>
      <c r="G14" s="1">
        <v>942972.0</v>
      </c>
      <c r="H14" s="1">
        <v>102.0</v>
      </c>
      <c r="I14" s="1">
        <v>220779.0</v>
      </c>
      <c r="J14" s="1">
        <v>0.0</v>
      </c>
      <c r="K14" s="1">
        <v>157132.0</v>
      </c>
      <c r="L14" s="1">
        <v>2887.0</v>
      </c>
      <c r="M14" s="1">
        <v>72325.0</v>
      </c>
      <c r="N14" s="1">
        <v>108.0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2" t="s">
        <v>14</v>
      </c>
      <c r="B1" s="2" t="s">
        <v>15</v>
      </c>
      <c r="C1" s="2" t="s">
        <v>1</v>
      </c>
      <c r="D1" s="2" t="s">
        <v>2</v>
      </c>
      <c r="E1" s="2" t="s">
        <v>4</v>
      </c>
      <c r="F1" s="2" t="s">
        <v>8</v>
      </c>
    </row>
    <row r="2">
      <c r="A2" s="3">
        <v>202501.0</v>
      </c>
      <c r="B2" s="4">
        <v>45658.0</v>
      </c>
      <c r="C2" s="5">
        <v>4.07</v>
      </c>
      <c r="D2" s="6">
        <v>107512.0</v>
      </c>
      <c r="E2" s="6">
        <v>1480.0</v>
      </c>
      <c r="F2" s="6">
        <v>219590.0</v>
      </c>
    </row>
    <row r="3">
      <c r="A3" s="3">
        <v>202502.0</v>
      </c>
      <c r="B3" s="4">
        <v>45689.0</v>
      </c>
      <c r="C3" s="5">
        <v>3.95</v>
      </c>
      <c r="D3" s="6">
        <v>104381.0</v>
      </c>
      <c r="E3" s="6">
        <v>1437.0</v>
      </c>
      <c r="F3" s="6">
        <v>213194.0</v>
      </c>
    </row>
    <row r="4">
      <c r="A4" s="3">
        <v>202503.0</v>
      </c>
      <c r="B4" s="4">
        <v>45717.0</v>
      </c>
      <c r="C4" s="5">
        <v>4.07</v>
      </c>
      <c r="D4" s="6">
        <v>107609.0</v>
      </c>
      <c r="E4" s="6">
        <v>1481.0</v>
      </c>
      <c r="F4" s="6">
        <v>219788.0</v>
      </c>
    </row>
    <row r="5">
      <c r="A5" s="3">
        <v>202504.0</v>
      </c>
      <c r="B5" s="4">
        <v>45748.0</v>
      </c>
      <c r="C5" s="5">
        <v>3.95</v>
      </c>
      <c r="D5" s="6">
        <v>104475.0</v>
      </c>
      <c r="E5" s="6">
        <v>1438.0</v>
      </c>
      <c r="F5" s="6">
        <v>213386.0</v>
      </c>
    </row>
    <row r="6">
      <c r="A6" s="3">
        <v>202505.0</v>
      </c>
      <c r="B6" s="4">
        <v>45778.0</v>
      </c>
      <c r="C6" s="5">
        <v>4.07</v>
      </c>
      <c r="D6" s="6">
        <v>107706.0</v>
      </c>
      <c r="E6" s="6">
        <v>1482.0</v>
      </c>
      <c r="F6" s="6">
        <v>219986.0</v>
      </c>
    </row>
    <row r="7">
      <c r="A7" s="3">
        <v>202506.0</v>
      </c>
      <c r="B7" s="4">
        <v>45809.0</v>
      </c>
      <c r="C7" s="5">
        <v>3.95</v>
      </c>
      <c r="D7" s="6">
        <v>104569.0</v>
      </c>
      <c r="E7" s="6">
        <v>1439.0</v>
      </c>
      <c r="F7" s="6">
        <v>213579.0</v>
      </c>
    </row>
    <row r="8">
      <c r="A8" s="3">
        <v>202507.0</v>
      </c>
      <c r="B8" s="4">
        <v>45839.0</v>
      </c>
      <c r="C8" s="5">
        <v>4.07</v>
      </c>
      <c r="D8" s="6">
        <v>107803.0</v>
      </c>
      <c r="E8" s="6">
        <v>1483.0</v>
      </c>
      <c r="F8" s="6">
        <v>220185.0</v>
      </c>
    </row>
    <row r="9">
      <c r="A9" s="3">
        <v>202508.0</v>
      </c>
      <c r="B9" s="4">
        <v>45870.0</v>
      </c>
      <c r="C9" s="5">
        <v>3.95</v>
      </c>
      <c r="D9" s="6">
        <v>104663.0</v>
      </c>
      <c r="E9" s="6">
        <v>1440.0</v>
      </c>
      <c r="F9" s="6">
        <v>213772.0</v>
      </c>
    </row>
    <row r="10">
      <c r="A10" s="3">
        <v>202509.0</v>
      </c>
      <c r="B10" s="4">
        <v>45901.0</v>
      </c>
      <c r="C10" s="5">
        <v>4.07</v>
      </c>
      <c r="D10" s="6">
        <v>107900.0</v>
      </c>
      <c r="E10" s="6">
        <v>1485.0</v>
      </c>
      <c r="F10" s="6">
        <v>220383.0</v>
      </c>
    </row>
    <row r="11">
      <c r="A11" s="3">
        <v>202510.0</v>
      </c>
      <c r="B11" s="4">
        <v>45931.0</v>
      </c>
      <c r="C11" s="5">
        <v>3.95</v>
      </c>
      <c r="D11" s="6">
        <v>104757.0</v>
      </c>
      <c r="E11" s="6">
        <v>1442.0</v>
      </c>
      <c r="F11" s="6">
        <v>213964.0</v>
      </c>
    </row>
    <row r="12">
      <c r="A12" s="3">
        <v>202511.0</v>
      </c>
      <c r="B12" s="4">
        <v>45962.0</v>
      </c>
      <c r="C12" s="5">
        <v>4.07</v>
      </c>
      <c r="D12" s="6">
        <v>107997.0</v>
      </c>
      <c r="E12" s="6">
        <v>1487.0</v>
      </c>
      <c r="F12" s="6">
        <v>220581.0</v>
      </c>
    </row>
    <row r="13">
      <c r="A13" s="3">
        <v>202512.0</v>
      </c>
      <c r="B13" s="4">
        <v>45992.0</v>
      </c>
      <c r="C13" s="5">
        <v>3.95</v>
      </c>
      <c r="D13" s="6">
        <v>104851.0</v>
      </c>
      <c r="E13" s="6">
        <v>1444.0</v>
      </c>
      <c r="F13" s="6">
        <v>214156.0</v>
      </c>
    </row>
    <row r="14">
      <c r="A14" s="3">
        <v>202601.0</v>
      </c>
      <c r="B14" s="4">
        <v>46023.0</v>
      </c>
      <c r="C14" s="5">
        <v>4.07</v>
      </c>
      <c r="D14" s="6">
        <v>108094.0</v>
      </c>
      <c r="E14" s="6">
        <v>1489.0</v>
      </c>
      <c r="F14" s="6">
        <v>220779.0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15.13"/>
    <col customWidth="1" min="3" max="26" width="8.63"/>
  </cols>
  <sheetData>
    <row r="1">
      <c r="A1" s="7" t="s">
        <v>16</v>
      </c>
    </row>
    <row r="2">
      <c r="A2" s="8" t="s">
        <v>17</v>
      </c>
    </row>
    <row r="3">
      <c r="A3" s="9" t="s">
        <v>18</v>
      </c>
    </row>
    <row r="4">
      <c r="A4" s="10" t="s">
        <v>19</v>
      </c>
      <c r="B4" s="10">
        <f>SUBTOTAL(101, dashboard_data!C:C)</f>
        <v>4.014615385</v>
      </c>
    </row>
    <row r="5">
      <c r="A5" s="10" t="s">
        <v>2</v>
      </c>
      <c r="B5" s="10">
        <f>SUBTOTAL(109, dashboard_data!D:D)</f>
        <v>1382317</v>
      </c>
    </row>
    <row r="6">
      <c r="A6" s="10" t="s">
        <v>20</v>
      </c>
      <c r="B6" s="10">
        <f>SUBTOTAL(109, dashboard_data!E:E)</f>
        <v>19027</v>
      </c>
    </row>
    <row r="7">
      <c r="A7" s="10" t="s">
        <v>21</v>
      </c>
      <c r="B7" s="10">
        <f>SUBTOTAL(109, dashboard_data!F:F)</f>
        <v>2823343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